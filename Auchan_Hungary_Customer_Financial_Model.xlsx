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CA98FF6-F20D-41E7-BBF3-150868F4C7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Հաճախորդների Վերլուծությու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C21" i="1"/>
  <c r="B22" i="1"/>
  <c r="F21" i="1"/>
  <c r="F20" i="1"/>
  <c r="F19" i="1"/>
  <c r="F18" i="1"/>
  <c r="F17" i="1"/>
  <c r="F16" i="1"/>
  <c r="B11" i="1"/>
  <c r="F22" i="1" l="1"/>
</calcChain>
</file>

<file path=xl/sharedStrings.xml><?xml version="1.0" encoding="utf-8"?>
<sst xmlns="http://schemas.openxmlformats.org/spreadsheetml/2006/main" count="44" uniqueCount="43">
  <si>
    <t>Bargain-Hunter Ágota (Զեղչեր փնտրող)</t>
  </si>
  <si>
    <t>Experience-Seeker Éva (Տպավորություններ փնտրող)</t>
  </si>
  <si>
    <t>Millennials / Gen X</t>
  </si>
  <si>
    <t>Local Helga (Տեղականը նախընտրող)</t>
  </si>
  <si>
    <t>Gen X / Baby Boomers</t>
  </si>
  <si>
    <t>Conscious Tibor/Tekla (Գիտակից սպառող)</t>
  </si>
  <si>
    <t>Millennials / Gen Z</t>
  </si>
  <si>
    <t>Get-it-Done Lóri (Արագ կողմնորոշվող)</t>
  </si>
  <si>
    <t>Gen Z / Millennials</t>
  </si>
  <si>
    <t>Gen Z</t>
  </si>
  <si>
    <t>Ընդհանուր Լոյալ Հաճախորդներ (Bizalomkártya)</t>
  </si>
  <si>
    <t>Հաճախորդների Պոտենցիալ Ծավալը և Տրանզակցիաների Աճի Մոդելավորում</t>
  </si>
  <si>
    <t>Ընթացիկ Բազա (Մարդ)</t>
  </si>
  <si>
    <t>Ներկա Այցելություններ (ամսական)</t>
  </si>
  <si>
    <t>Նոր Այցելություններ (կոնցեպտից հետո)</t>
  </si>
  <si>
    <t>Լրացուցիչ Ամսական Տրանզակցիաներ</t>
  </si>
  <si>
    <t>Bargain-Hunter Ágota</t>
  </si>
  <si>
    <t>Experience-Seeker Éva</t>
  </si>
  <si>
    <t>Local Helga</t>
  </si>
  <si>
    <t>Conscious Tibor/Tekla</t>
  </si>
  <si>
    <t>Get-it-Done Lóri</t>
  </si>
  <si>
    <t>Digital Borka</t>
  </si>
  <si>
    <t xml:space="preserve">Auchan Hungary - Հաճախորդների Սեգմենտավորման Մոդել </t>
  </si>
  <si>
    <t>Customer Personas</t>
  </si>
  <si>
    <t xml:space="preserve">Digital Borka </t>
  </si>
  <si>
    <t>Ակնկալվող աճ %</t>
  </si>
  <si>
    <t>Ընդամենը  Ամսական Տրանզակցիաներ</t>
  </si>
  <si>
    <t xml:space="preserve"> (%)</t>
  </si>
  <si>
    <t xml:space="preserve">Baby Boomers / Gen X </t>
  </si>
  <si>
    <t>motivation</t>
  </si>
  <si>
    <t>impact</t>
  </si>
  <si>
    <t>Consumers are highly sensitive to price changes and are strongly influenced by discounts and promotions.</t>
  </si>
  <si>
    <t>People like to try new products; shoppers are attracted by variety and new offerings.</t>
  </si>
  <si>
    <t>Consumers value socially responsible products, waste reduction, and ecological awareness.</t>
  </si>
  <si>
    <t>Focus on healthy lifestyle, Bio/Organic and sustainable products.</t>
  </si>
  <si>
    <t>Shopping is seen as a leisure activity; people also shop at discount stores such as Lidl/Aldi.</t>
  </si>
  <si>
    <t>Consumers are tech-savvy, use apps, and compare prices through digital platforms and online tools.</t>
  </si>
  <si>
    <t xml:space="preserve"> Need to ensure low prices and provide attractive promotions and discounts.</t>
  </si>
  <si>
    <r>
      <t>Hypermarket trend:</t>
    </r>
    <r>
      <rPr>
        <sz val="11"/>
        <color theme="1"/>
        <rFont val="Calibri"/>
        <family val="2"/>
        <scheme val="minor"/>
      </rPr>
      <t xml:space="preserve"> development of large stores (around 2000–4000 m²) to meet consumer demand.</t>
    </r>
  </si>
  <si>
    <t>Increase availability of local producers and introduce a Farmer’s Market concept.</t>
  </si>
  <si>
    <t xml:space="preserve"> Hypermarket trend: creation of dedicated bio/organic and healthy food sections.</t>
  </si>
  <si>
    <t>Development of loyalty programs and self-service technologies (apps, kiosks, self-checkout).</t>
  </si>
  <si>
    <t>Creation of a digital ecosystem and omnichannel integration (e.g., Auchan GO-type solutions).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</si>
</sst>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6"/>
      <color rgb="FF1F497D"/>
      <name val="Calibri"/>
      <family val="2"/>
    </font>
    <font>
      <b/>
      <sz val="12"/>
      <color rgb="FF000000"/>
      <name val="Sylfaen"/>
      <family val="1"/>
    </font>
    <font>
      <sz val="11"/>
      <color theme="1"/>
      <name val="Sylfaen"/>
      <family val="1"/>
    </font>
    <font>
      <b/>
      <sz val="11"/>
      <color rgb="FFFFFFFF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366092"/>
        <bgColor rgb="FF366092"/>
      </patternFill>
    </fill>
    <fill>
      <patternFill patternType="solid">
        <fgColor rgb="FFE9EDF4"/>
        <bgColor rgb="FFE9ED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4" fillId="0" borderId="1" xfId="0" applyFont="1" applyBorder="1"/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1" xfId="0" applyFont="1" applyFill="1" applyBorder="1"/>
    <xf numFmtId="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0" borderId="2" xfId="0" applyFont="1" applyBorder="1"/>
    <xf numFmtId="9" fontId="4" fillId="0" borderId="2" xfId="0" applyNumberFormat="1" applyFont="1" applyBorder="1" applyAlignment="1">
      <alignment horizontal="center"/>
    </xf>
    <xf numFmtId="0" fontId="0" fillId="0" borderId="2" xfId="0" applyBorder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 vertical="center" wrapText="1"/>
    </xf>
    <xf numFmtId="0" fontId="10" fillId="0" borderId="1" xfId="0" applyFont="1" applyBorder="1"/>
    <xf numFmtId="3" fontId="11" fillId="0" borderId="1" xfId="0" applyNumberFormat="1" applyFont="1" applyBorder="1"/>
    <xf numFmtId="164" fontId="11" fillId="0" borderId="1" xfId="0" applyNumberFormat="1" applyFont="1" applyBorder="1" applyAlignment="1">
      <alignment horizontal="right"/>
    </xf>
    <xf numFmtId="3" fontId="10" fillId="5" borderId="1" xfId="0" applyNumberFormat="1" applyFont="1" applyFill="1" applyBorder="1"/>
    <xf numFmtId="0" fontId="10" fillId="0" borderId="2" xfId="0" applyFont="1" applyBorder="1"/>
    <xf numFmtId="3" fontId="10" fillId="0" borderId="2" xfId="0" applyNumberFormat="1" applyFont="1" applyBorder="1"/>
    <xf numFmtId="0" fontId="8" fillId="0" borderId="2" xfId="0" applyFont="1" applyBorder="1"/>
    <xf numFmtId="3" fontId="10" fillId="5" borderId="2" xfId="0" applyNumberFormat="1" applyFont="1" applyFill="1" applyBorder="1"/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on QoC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'Հաճախորդների Վերլուծություն'!$C$16:$C$21</c:f>
              <c:numCache>
                <c:formatCode>0.0</c:formatCode>
                <c:ptCount val="6"/>
                <c:pt idx="0">
                  <c:v>7</c:v>
                </c:pt>
                <c:pt idx="1">
                  <c:v>4</c:v>
                </c:pt>
                <c:pt idx="2">
                  <c:v>12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7-4272-B865-F527C3D901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'Հաճախորդների Վերլուծություն'!$E$16:$E$21</c:f>
              <c:numCache>
                <c:formatCode>0.0</c:formatCode>
                <c:ptCount val="6"/>
                <c:pt idx="0">
                  <c:v>7.3</c:v>
                </c:pt>
                <c:pt idx="1">
                  <c:v>6</c:v>
                </c:pt>
                <c:pt idx="2">
                  <c:v>13.2</c:v>
                </c:pt>
                <c:pt idx="3">
                  <c:v>7.8</c:v>
                </c:pt>
                <c:pt idx="4">
                  <c:v>3.6</c:v>
                </c:pt>
                <c:pt idx="5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77-4272-B865-F527C3D90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5215504"/>
        <c:axId val="1855217904"/>
      </c:barChart>
      <c:catAx>
        <c:axId val="185521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217904"/>
        <c:crosses val="autoZero"/>
        <c:auto val="1"/>
        <c:lblAlgn val="ctr"/>
        <c:lblOffset val="100"/>
        <c:noMultiLvlLbl val="0"/>
      </c:catAx>
      <c:valAx>
        <c:axId val="18552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2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203636</xdr:colOff>
      <xdr:row>7</xdr:row>
      <xdr:rowOff>323193</xdr:rowOff>
    </xdr:from>
    <xdr:to>
      <xdr:col>20</xdr:col>
      <xdr:colOff>433550</xdr:colOff>
      <xdr:row>19</xdr:row>
      <xdr:rowOff>131379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3A015-38C7-25B1-575E-65DA20A42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58" zoomScaleNormal="58" workbookViewId="0">
      <selection activeCell="H33" sqref="H33"/>
    </sheetView>
  </sheetViews>
  <sheetFormatPr defaultRowHeight="14.4" x14ac:dyDescent="0.3"/>
  <cols>
    <col min="1" max="1" width="30" customWidth="1"/>
    <col min="2" max="2" width="22" customWidth="1"/>
    <col min="3" max="4" width="38" customWidth="1"/>
    <col min="5" max="6" width="45" customWidth="1"/>
  </cols>
  <sheetData>
    <row r="1" spans="1:6" ht="21" x14ac:dyDescent="0.4">
      <c r="A1" s="13" t="s">
        <v>22</v>
      </c>
    </row>
    <row r="3" spans="1:6" ht="15.6" x14ac:dyDescent="0.3">
      <c r="A3" s="1"/>
    </row>
    <row r="4" spans="1:6" ht="27.9" customHeight="1" x14ac:dyDescent="0.3">
      <c r="A4" s="25" t="s">
        <v>23</v>
      </c>
      <c r="B4" s="2" t="s">
        <v>27</v>
      </c>
      <c r="C4" s="2"/>
      <c r="D4" s="2"/>
      <c r="E4" s="2" t="s">
        <v>29</v>
      </c>
      <c r="F4" s="2" t="s">
        <v>30</v>
      </c>
    </row>
    <row r="5" spans="1:6" ht="28.8" x14ac:dyDescent="0.3">
      <c r="A5" s="3" t="s">
        <v>0</v>
      </c>
      <c r="B5" s="4">
        <v>0.24</v>
      </c>
      <c r="C5" s="5" t="s">
        <v>28</v>
      </c>
      <c r="D5" s="5"/>
      <c r="E5" s="27" t="s">
        <v>31</v>
      </c>
      <c r="F5" s="26" t="s">
        <v>37</v>
      </c>
    </row>
    <row r="6" spans="1:6" ht="55.2" customHeight="1" x14ac:dyDescent="0.3">
      <c r="A6" s="6" t="s">
        <v>1</v>
      </c>
      <c r="B6" s="7">
        <v>0.21</v>
      </c>
      <c r="C6" s="8" t="s">
        <v>2</v>
      </c>
      <c r="D6" s="8"/>
      <c r="E6" s="27" t="s">
        <v>32</v>
      </c>
      <c r="F6" s="27" t="s">
        <v>38</v>
      </c>
    </row>
    <row r="7" spans="1:6" ht="65.400000000000006" customHeight="1" x14ac:dyDescent="0.3">
      <c r="A7" s="3" t="s">
        <v>3</v>
      </c>
      <c r="B7" s="4">
        <v>0.2</v>
      </c>
      <c r="C7" s="5" t="s">
        <v>4</v>
      </c>
      <c r="D7" s="5"/>
      <c r="E7" s="27" t="s">
        <v>33</v>
      </c>
      <c r="F7" s="26" t="s">
        <v>39</v>
      </c>
    </row>
    <row r="8" spans="1:6" ht="52.2" customHeight="1" x14ac:dyDescent="0.3">
      <c r="A8" s="6" t="s">
        <v>5</v>
      </c>
      <c r="B8" s="7">
        <v>0.16</v>
      </c>
      <c r="C8" s="8" t="s">
        <v>6</v>
      </c>
      <c r="D8" s="8"/>
      <c r="E8" s="27" t="s">
        <v>34</v>
      </c>
      <c r="F8" s="27" t="s">
        <v>40</v>
      </c>
    </row>
    <row r="9" spans="1:6" ht="52.8" customHeight="1" x14ac:dyDescent="0.3">
      <c r="A9" s="3" t="s">
        <v>7</v>
      </c>
      <c r="B9" s="4">
        <v>0.16</v>
      </c>
      <c r="C9" s="5" t="s">
        <v>8</v>
      </c>
      <c r="D9" s="5"/>
      <c r="E9" s="27" t="s">
        <v>35</v>
      </c>
      <c r="F9" s="26" t="s">
        <v>41</v>
      </c>
    </row>
    <row r="10" spans="1:6" ht="55.8" customHeight="1" x14ac:dyDescent="0.3">
      <c r="A10" s="12" t="s">
        <v>24</v>
      </c>
      <c r="B10" s="7">
        <v>0.02</v>
      </c>
      <c r="C10" s="8" t="s">
        <v>9</v>
      </c>
      <c r="D10" s="8"/>
      <c r="E10" s="27" t="s">
        <v>36</v>
      </c>
      <c r="F10" s="26" t="s">
        <v>42</v>
      </c>
    </row>
    <row r="11" spans="1:6" ht="15" thickBot="1" x14ac:dyDescent="0.35">
      <c r="A11" s="9" t="s">
        <v>10</v>
      </c>
      <c r="B11" s="10">
        <f>SUM(B5:B10)</f>
        <v>0.99</v>
      </c>
      <c r="C11" s="11"/>
      <c r="D11" s="11"/>
      <c r="E11" s="11"/>
      <c r="F11" s="11"/>
    </row>
    <row r="14" spans="1:6" ht="16.2" x14ac:dyDescent="0.35">
      <c r="A14" s="14" t="s">
        <v>11</v>
      </c>
      <c r="B14" s="15"/>
      <c r="C14" s="15"/>
      <c r="D14" s="15"/>
      <c r="E14" s="15"/>
      <c r="F14" s="15"/>
    </row>
    <row r="15" spans="1:6" ht="24.9" customHeight="1" x14ac:dyDescent="0.3">
      <c r="A15" s="16" t="s">
        <v>23</v>
      </c>
      <c r="B15" s="16" t="s">
        <v>12</v>
      </c>
      <c r="C15" s="16" t="s">
        <v>13</v>
      </c>
      <c r="D15" s="16" t="s">
        <v>25</v>
      </c>
      <c r="E15" s="16" t="s">
        <v>14</v>
      </c>
      <c r="F15" s="16" t="s">
        <v>15</v>
      </c>
    </row>
    <row r="16" spans="1:6" ht="20.100000000000001" customHeight="1" x14ac:dyDescent="0.3">
      <c r="A16" s="17" t="s">
        <v>16</v>
      </c>
      <c r="B16" s="18">
        <v>1774000</v>
      </c>
      <c r="C16" s="19">
        <v>7</v>
      </c>
      <c r="D16" s="19">
        <v>5</v>
      </c>
      <c r="E16" s="19">
        <v>7.3</v>
      </c>
      <c r="F16" s="20">
        <f t="shared" ref="F16:F21" si="0">B16*(E16-C16)</f>
        <v>532199.99999999965</v>
      </c>
    </row>
    <row r="17" spans="1:6" ht="20.100000000000001" customHeight="1" x14ac:dyDescent="0.3">
      <c r="A17" s="17" t="s">
        <v>17</v>
      </c>
      <c r="B17" s="18">
        <v>1537000</v>
      </c>
      <c r="C17" s="19">
        <v>4</v>
      </c>
      <c r="D17" s="19">
        <v>50</v>
      </c>
      <c r="E17" s="19">
        <v>6</v>
      </c>
      <c r="F17" s="20">
        <f t="shared" si="0"/>
        <v>3074000</v>
      </c>
    </row>
    <row r="18" spans="1:6" ht="20.100000000000001" customHeight="1" x14ac:dyDescent="0.3">
      <c r="A18" s="17" t="s">
        <v>18</v>
      </c>
      <c r="B18" s="18">
        <v>1504000</v>
      </c>
      <c r="C18" s="19">
        <v>12</v>
      </c>
      <c r="D18" s="19">
        <v>10</v>
      </c>
      <c r="E18" s="19">
        <v>13.2</v>
      </c>
      <c r="F18" s="20">
        <f t="shared" si="0"/>
        <v>1804799.9999999988</v>
      </c>
    </row>
    <row r="19" spans="1:6" ht="20.100000000000001" customHeight="1" x14ac:dyDescent="0.3">
      <c r="A19" s="17" t="s">
        <v>19</v>
      </c>
      <c r="B19" s="18">
        <v>1209000</v>
      </c>
      <c r="C19" s="19">
        <v>6</v>
      </c>
      <c r="D19" s="19">
        <v>30</v>
      </c>
      <c r="E19" s="19">
        <v>7.8</v>
      </c>
      <c r="F19" s="20">
        <f t="shared" si="0"/>
        <v>2176200</v>
      </c>
    </row>
    <row r="20" spans="1:6" ht="20.100000000000001" customHeight="1" x14ac:dyDescent="0.3">
      <c r="A20" s="17" t="s">
        <v>20</v>
      </c>
      <c r="B20" s="18">
        <v>1191000</v>
      </c>
      <c r="C20" s="19">
        <v>3</v>
      </c>
      <c r="D20" s="19">
        <v>20</v>
      </c>
      <c r="E20" s="19">
        <v>3.6</v>
      </c>
      <c r="F20" s="20">
        <f t="shared" si="0"/>
        <v>714600.00000000012</v>
      </c>
    </row>
    <row r="21" spans="1:6" ht="20.100000000000001" customHeight="1" x14ac:dyDescent="0.3">
      <c r="A21" s="17" t="s">
        <v>21</v>
      </c>
      <c r="B21" s="18">
        <v>176000</v>
      </c>
      <c r="C21" s="19">
        <f>1 + 4</f>
        <v>5</v>
      </c>
      <c r="D21" s="19">
        <v>40</v>
      </c>
      <c r="E21" s="19">
        <f>1.4+4</f>
        <v>5.4</v>
      </c>
      <c r="F21" s="20">
        <f t="shared" si="0"/>
        <v>70400.000000000058</v>
      </c>
    </row>
    <row r="22" spans="1:6" x14ac:dyDescent="0.3">
      <c r="A22" s="21" t="s">
        <v>26</v>
      </c>
      <c r="B22" s="22">
        <f>SUM(B16:B21)</f>
        <v>7391000</v>
      </c>
      <c r="C22" s="23"/>
      <c r="D22" s="23"/>
      <c r="E22" s="23"/>
      <c r="F22" s="24">
        <f>SUM(F16:F21)</f>
        <v>8372199.9999999981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Հաճախորդների Վերլուծություն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Feliks Khangeldyan</cp:lastModifiedBy>
  <dcterms:created xsi:type="dcterms:W3CDTF">2026-06-06T12:29:17Z</dcterms:created>
  <dcterms:modified xsi:type="dcterms:W3CDTF">2026-06-07T00:20:42Z</dcterms:modified>
</cp:coreProperties>
</file>