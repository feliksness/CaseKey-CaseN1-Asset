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F3CBB90-BEB2-4308-A99E-E3943EBF56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18" i="1"/>
  <c r="C19" i="1"/>
  <c r="C20" i="1"/>
  <c r="C21" i="1"/>
  <c r="C22" i="1"/>
  <c r="C24" i="1"/>
  <c r="C25" i="1"/>
  <c r="C26" i="1"/>
  <c r="C4" i="1"/>
  <c r="C5" i="1"/>
  <c r="C6" i="1"/>
  <c r="C9" i="1"/>
  <c r="F20" i="1"/>
  <c r="B14" i="1"/>
  <c r="C11" i="1"/>
  <c r="C12" i="1"/>
  <c r="C13" i="1"/>
  <c r="C14" i="1"/>
  <c r="C10" i="1"/>
  <c r="B19" i="1" l="1"/>
  <c r="B22" i="1" s="1"/>
  <c r="B18" i="1"/>
  <c r="B11" i="1"/>
  <c r="B13" i="1" s="1"/>
  <c r="B6" i="1"/>
  <c r="B26" i="1" l="1"/>
  <c r="B25" i="1"/>
  <c r="B20" i="1"/>
  <c r="B12" i="1"/>
</calcChain>
</file>

<file path=xl/sharedStrings.xml><?xml version="1.0" encoding="utf-8"?>
<sst xmlns="http://schemas.openxmlformats.org/spreadsheetml/2006/main" count="23" uniqueCount="23">
  <si>
    <t>BLOCK 1: Elo Group Official (2025)</t>
  </si>
  <si>
    <t>Group Annual EBITDA (M EUR)</t>
  </si>
  <si>
    <t>Group EBITDA Margin</t>
  </si>
  <si>
    <t>Average Basket (EUR)</t>
  </si>
  <si>
    <t>Daily Transactions</t>
  </si>
  <si>
    <t>Base Daily Revenue (EUR)</t>
  </si>
  <si>
    <t>Base Monthly Revenue (EUR)</t>
  </si>
  <si>
    <t>Base Annual Revenue (EUR)</t>
  </si>
  <si>
    <t>Base Annual EBITDA (EUR)</t>
  </si>
  <si>
    <t>BLOCK 3: Reform Impact &amp; ROI</t>
  </si>
  <si>
    <t>Incremental Monthly Transactions</t>
  </si>
  <si>
    <t>Incremental Monthly Revenue (EUR)</t>
  </si>
  <si>
    <t>Incremental Annual Revenue (EUR)</t>
  </si>
  <si>
    <t>Incremental Daily Revenue (EUR)</t>
  </si>
  <si>
    <t>Incremental EBITDA Margin</t>
  </si>
  <si>
    <t>Incremental Annual EBITDA (EUR)</t>
  </si>
  <si>
    <t>Project CAPEX (Investment EUR)</t>
  </si>
  <si>
    <t>Payback Period (Months)</t>
  </si>
  <si>
    <t>Payback Period (Years)</t>
  </si>
  <si>
    <t>AUCHAN REFORMS - FINANCIAL MODEL 2025</t>
  </si>
  <si>
    <t>Group Annual Revenue (Milion EUR)</t>
  </si>
  <si>
    <t xml:space="preserve">BLOCK 2: </t>
  </si>
  <si>
    <t>5097.4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</si>
</sst>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164" formatCode="0.0%"/>
    <numFmt numFmtId="165" formatCode="0.0"/>
    <numFmt numFmtId="166" formatCode="\€#,##0"/>
    <numFmt numFmtId="167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167" fontId="0" fillId="0" borderId="0" xfId="0" applyNumberFormat="1"/>
    <xf numFmtId="0" fontId="2" fillId="2" borderId="0" xfId="0" applyFont="1" applyFill="1"/>
    <xf numFmtId="0" fontId="0" fillId="0" borderId="0" xfId="0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6"/>
  <sheetViews>
    <sheetView tabSelected="1" workbookViewId="0">
      <selection sqref="A1:C26"/>
    </sheetView>
  </sheetViews>
  <sheetFormatPr defaultRowHeight="14.4" x14ac:dyDescent="0.3"/>
  <cols>
    <col min="1" max="1" width="34" bestFit="1" customWidth="1"/>
    <col min="2" max="2" width="11.109375" bestFit="1" customWidth="1"/>
    <col min="3" max="3" width="15.21875" bestFit="1" customWidth="1"/>
  </cols>
  <sheetData>
    <row r="1" spans="1:6" ht="18" x14ac:dyDescent="0.35">
      <c r="A1" s="10" t="s">
        <v>19</v>
      </c>
      <c r="B1" s="11"/>
      <c r="C1" s="11"/>
    </row>
    <row r="3" spans="1:6" x14ac:dyDescent="0.3">
      <c r="A3" s="1" t="s">
        <v>0</v>
      </c>
    </row>
    <row r="4" spans="1:6" x14ac:dyDescent="0.3">
      <c r="A4" t="s">
        <v>20</v>
      </c>
      <c r="B4" s="6">
        <v>32142</v>
      </c>
      <c r="C4" s="9">
        <f t="shared" ref="C4:C9" si="0">B4*(1.13)</f>
        <v>36320.46</v>
      </c>
    </row>
    <row r="5" spans="1:6" x14ac:dyDescent="0.3">
      <c r="A5" t="s">
        <v>1</v>
      </c>
      <c r="B5" s="6">
        <v>1025</v>
      </c>
      <c r="C5" s="9">
        <f t="shared" si="0"/>
        <v>1158.25</v>
      </c>
    </row>
    <row r="6" spans="1:6" x14ac:dyDescent="0.3">
      <c r="A6" t="s">
        <v>2</v>
      </c>
      <c r="B6" s="2">
        <f>B5/B4</f>
        <v>3.1889739281936405E-2</v>
      </c>
      <c r="C6" s="9">
        <f t="shared" si="0"/>
        <v>3.6035405388588133E-2</v>
      </c>
    </row>
    <row r="7" spans="1:6" x14ac:dyDescent="0.3">
      <c r="C7" s="9"/>
    </row>
    <row r="8" spans="1:6" x14ac:dyDescent="0.3">
      <c r="A8" s="1" t="s">
        <v>21</v>
      </c>
      <c r="C8" s="9"/>
    </row>
    <row r="9" spans="1:6" x14ac:dyDescent="0.3">
      <c r="A9" t="s">
        <v>3</v>
      </c>
      <c r="B9" s="7">
        <v>22</v>
      </c>
      <c r="C9" s="9">
        <f t="shared" si="0"/>
        <v>24.86</v>
      </c>
    </row>
    <row r="10" spans="1:6" x14ac:dyDescent="0.3">
      <c r="A10" t="s">
        <v>4</v>
      </c>
      <c r="B10" s="9">
        <v>4500</v>
      </c>
      <c r="C10" s="9">
        <f>B10*(1.13)</f>
        <v>5084.9999999999991</v>
      </c>
      <c r="E10">
        <v>4500</v>
      </c>
      <c r="F10" t="s">
        <v>22</v>
      </c>
    </row>
    <row r="11" spans="1:6" x14ac:dyDescent="0.3">
      <c r="A11" t="s">
        <v>5</v>
      </c>
      <c r="B11" s="7">
        <f>B10*B9</f>
        <v>99000</v>
      </c>
      <c r="C11" s="8">
        <f t="shared" ref="C11:C26" si="1">B11*(1.13)</f>
        <v>111869.99999999999</v>
      </c>
    </row>
    <row r="12" spans="1:6" x14ac:dyDescent="0.3">
      <c r="A12" t="s">
        <v>6</v>
      </c>
      <c r="B12" s="7">
        <f>B11*30</f>
        <v>2970000</v>
      </c>
      <c r="C12" s="8">
        <f t="shared" si="1"/>
        <v>3356099.9999999995</v>
      </c>
    </row>
    <row r="13" spans="1:6" x14ac:dyDescent="0.3">
      <c r="A13" t="s">
        <v>7</v>
      </c>
      <c r="B13" s="7">
        <f>B11*365</f>
        <v>36135000</v>
      </c>
      <c r="C13" s="8">
        <f t="shared" si="1"/>
        <v>40832549.999999993</v>
      </c>
    </row>
    <row r="14" spans="1:6" x14ac:dyDescent="0.3">
      <c r="A14" t="s">
        <v>8</v>
      </c>
      <c r="B14" s="7">
        <f>B13*B6</f>
        <v>1152335.728952772</v>
      </c>
      <c r="C14" s="8">
        <f t="shared" si="1"/>
        <v>1302139.3737166321</v>
      </c>
    </row>
    <row r="15" spans="1:6" x14ac:dyDescent="0.3">
      <c r="C15" s="8"/>
    </row>
    <row r="16" spans="1:6" x14ac:dyDescent="0.3">
      <c r="A16" s="1" t="s">
        <v>9</v>
      </c>
      <c r="C16" s="8"/>
    </row>
    <row r="17" spans="1:6" x14ac:dyDescent="0.3">
      <c r="A17" t="s">
        <v>10</v>
      </c>
      <c r="B17">
        <v>24975</v>
      </c>
      <c r="C17" s="8">
        <f t="shared" si="1"/>
        <v>28221.749999999996</v>
      </c>
    </row>
    <row r="18" spans="1:6" x14ac:dyDescent="0.3">
      <c r="A18" t="s">
        <v>11</v>
      </c>
      <c r="B18" s="7">
        <f>B17*B9</f>
        <v>549450</v>
      </c>
      <c r="C18" s="8">
        <f t="shared" si="1"/>
        <v>620878.49999999988</v>
      </c>
    </row>
    <row r="19" spans="1:6" x14ac:dyDescent="0.3">
      <c r="A19" t="s">
        <v>12</v>
      </c>
      <c r="B19" s="7">
        <f>B18*12</f>
        <v>6593400</v>
      </c>
      <c r="C19" s="8">
        <f t="shared" si="1"/>
        <v>7450541.9999999991</v>
      </c>
    </row>
    <row r="20" spans="1:6" x14ac:dyDescent="0.3">
      <c r="A20" t="s">
        <v>13</v>
      </c>
      <c r="B20" s="7">
        <f>B19/365</f>
        <v>18064.109589041094</v>
      </c>
      <c r="C20" s="8">
        <f t="shared" si="1"/>
        <v>20412.443835616436</v>
      </c>
      <c r="F20">
        <f>747.7*1.13^3</f>
        <v>1078.8540868999996</v>
      </c>
    </row>
    <row r="21" spans="1:6" x14ac:dyDescent="0.3">
      <c r="A21" t="s">
        <v>14</v>
      </c>
      <c r="B21" s="3">
        <v>0.12</v>
      </c>
      <c r="C21" s="8">
        <f t="shared" si="1"/>
        <v>0.13559999999999997</v>
      </c>
    </row>
    <row r="22" spans="1:6" x14ac:dyDescent="0.3">
      <c r="A22" t="s">
        <v>15</v>
      </c>
      <c r="B22" s="7">
        <f>B19*B21</f>
        <v>791208</v>
      </c>
      <c r="C22" s="8">
        <f t="shared" si="1"/>
        <v>894065.03999999992</v>
      </c>
    </row>
    <row r="23" spans="1:6" x14ac:dyDescent="0.3">
      <c r="C23" s="8"/>
    </row>
    <row r="24" spans="1:6" x14ac:dyDescent="0.3">
      <c r="A24" t="s">
        <v>16</v>
      </c>
      <c r="B24" s="7">
        <v>750000</v>
      </c>
      <c r="C24" s="8">
        <f t="shared" si="1"/>
        <v>847499.99999999988</v>
      </c>
    </row>
    <row r="25" spans="1:6" x14ac:dyDescent="0.3">
      <c r="A25" t="s">
        <v>17</v>
      </c>
      <c r="B25" s="4">
        <f>(B24/B22)*12</f>
        <v>11.375011375011375</v>
      </c>
      <c r="C25" s="8">
        <f t="shared" si="1"/>
        <v>12.853762853762854</v>
      </c>
    </row>
    <row r="26" spans="1:6" x14ac:dyDescent="0.3">
      <c r="A26" t="s">
        <v>18</v>
      </c>
      <c r="B26" s="5">
        <f>B24/B22</f>
        <v>0.94791761458428125</v>
      </c>
      <c r="C26" s="8">
        <f t="shared" si="1"/>
        <v>1.0711469044802377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Comp_Admin</dc:creator>
  <cp:lastModifiedBy>Feliks Khangeldyan</cp:lastModifiedBy>
  <dcterms:created xsi:type="dcterms:W3CDTF">2026-06-06T14:03:41Z</dcterms:created>
  <dcterms:modified xsi:type="dcterms:W3CDTF">2026-06-07T00:49:44Z</dcterms:modified>
</cp:coreProperties>
</file>